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de Gestão" sheetId="1" state="visible" r:id="rId1"/>
    <sheet name="Planner Semanal" sheetId="2" state="visible" r:id="rId2"/>
    <sheet name="Cadência da Carteira" sheetId="3" state="visible" r:id="rId3"/>
    <sheet name="Rituais &amp; Ciclo" sheetId="4" state="visible" r:id="rId4"/>
    <sheet name="Painel do Coordenador" sheetId="5" state="visible" r:id="rId5"/>
    <sheet name="Leia-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010860"/>
      <sz val="16"/>
    </font>
    <font>
      <name val="Calibri"/>
      <i val="1"/>
      <color rgb="00555566"/>
      <sz val="10"/>
    </font>
    <font>
      <name val="Calibri"/>
      <b val="1"/>
      <color rgb="00FFFFFF"/>
      <sz val="11"/>
    </font>
    <font>
      <name val="Calibri"/>
      <color rgb="001A1A2E"/>
      <sz val="9.5"/>
    </font>
    <font>
      <name val="Calibri"/>
      <b val="1"/>
      <color rgb="00010860"/>
      <sz val="10"/>
    </font>
    <font>
      <name val="Calibri"/>
      <color rgb="001A1A2E"/>
      <sz val="10"/>
    </font>
    <font>
      <name val="Calibri"/>
      <b val="1"/>
      <color rgb="00FFFFFF"/>
      <sz val="10"/>
    </font>
    <font>
      <name val="Calibri"/>
      <i val="1"/>
      <color rgb="00555566"/>
      <sz val="9"/>
    </font>
  </fonts>
  <fills count="9">
    <fill>
      <patternFill/>
    </fill>
    <fill>
      <patternFill patternType="gray125"/>
    </fill>
    <fill>
      <patternFill patternType="solid">
        <fgColor rgb="00010860"/>
      </patternFill>
    </fill>
    <fill>
      <patternFill patternType="solid">
        <fgColor rgb="00E9EAEF"/>
      </patternFill>
    </fill>
    <fill>
      <patternFill patternType="solid">
        <fgColor rgb="00D9E0F5"/>
      </patternFill>
    </fill>
    <fill>
      <patternFill patternType="solid">
        <fgColor rgb="00DCEDE2"/>
      </patternFill>
    </fill>
    <fill>
      <patternFill patternType="solid">
        <fgColor rgb="00E7E0F1"/>
      </patternFill>
    </fill>
    <fill>
      <patternFill patternType="solid">
        <fgColor rgb="00F3E6C8"/>
      </patternFill>
    </fill>
    <fill>
      <patternFill patternType="solid">
        <fgColor rgb="00F4F5FA"/>
      </patternFill>
    </fill>
  </fills>
  <borders count="2">
    <border>
      <left/>
      <right/>
      <top/>
      <bottom/>
      <diagonal/>
    </border>
    <border>
      <left style="thin">
        <color rgb="00C9CCDD"/>
      </left>
      <right style="thin">
        <color rgb="00C9CCDD"/>
      </right>
      <top style="thin">
        <color rgb="00C9CCDD"/>
      </top>
      <bottom style="thin">
        <color rgb="00C9CC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b val="1"/>
        <color rgb="008B1A1A"/>
      </font>
      <fill>
        <patternFill patternType="solid">
          <fgColor rgb="00F6D3D3"/>
        </patternFill>
      </fill>
    </dxf>
    <dxf>
      <font>
        <color rgb="007A5A00"/>
      </font>
      <fill>
        <patternFill patternType="solid">
          <fgColor rgb="00FBEF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Semana-padrão de gestão — Coordenação de Parcerias</t>
        </is>
      </c>
    </row>
    <row r="2">
      <c r="A2" s="2" t="inlineStr">
        <is>
          <t>Rotina temática do coordenador (planejar → executar → registrar → analisar) · régua por tier: A quinzenal · B mensal · C automatizada · Playbook v1 — PARÂMETRO A VALIDAR</t>
        </is>
      </c>
    </row>
    <row r="4" ht="26" customHeight="1">
      <c r="A4" s="3" t="inlineStr">
        <is>
          <t>Bloco</t>
        </is>
      </c>
      <c r="B4" s="3" t="inlineStr">
        <is>
          <t>Segunda</t>
        </is>
      </c>
      <c r="C4" s="3" t="inlineStr">
        <is>
          <t>Terça</t>
        </is>
      </c>
      <c r="D4" s="3" t="inlineStr">
        <is>
          <t>Quarta</t>
        </is>
      </c>
      <c r="E4" s="3" t="inlineStr">
        <is>
          <t>Quinta</t>
        </is>
      </c>
      <c r="F4" s="3" t="inlineStr">
        <is>
          <t>Sexta</t>
        </is>
      </c>
    </row>
    <row r="5" ht="64" customHeight="1">
      <c r="A5" s="3" t="inlineStr">
        <is>
          <t>08h30–10h</t>
        </is>
      </c>
      <c r="B5" s="4" t="inlineStr">
        <is>
          <t>Planejamento da semana — leitura do dashboard (Twenty) e seleção dos parceiros do ciclo</t>
        </is>
      </c>
      <c r="C5" s="4" t="inlineStr">
        <is>
          <t>Preparação da Weekly de Parcerias — pipeline de indicados, onboarding e exceções</t>
        </is>
      </c>
      <c r="D5" s="5" t="inlineStr">
        <is>
          <t>Contatos de gestão — Tier A (ciclo quinzenal): pipeline da carteira e próxima abertura</t>
        </is>
      </c>
      <c r="E5" s="6" t="inlineStr">
        <is>
          <t>Preparação dos planos conjuntos — contas-alvo × ICP (5–10 contas por ciclo)</t>
        </is>
      </c>
      <c r="F5" s="5" t="inlineStr">
        <is>
          <t>Contatos de gestão — recuperação da régua da semana (aderência ≥ 90%)</t>
        </is>
      </c>
    </row>
    <row r="6" ht="64" customHeight="1">
      <c r="A6" s="3" t="inlineStr">
        <is>
          <t>10h–12h</t>
        </is>
      </c>
      <c r="B6" s="5" t="inlineStr">
        <is>
          <t>Contatos de gestão — Tier A (ciclo quinzenal)</t>
        </is>
      </c>
      <c r="C6" s="4" t="inlineStr">
        <is>
          <t>Weekly de Parcerias com o CCO (terças · 45 min) + desdobramentos no CRM</t>
        </is>
      </c>
      <c r="D6" s="7" t="inlineStr">
        <is>
          <t>Visita presencial / agenda de campo (1–2 por semana)</t>
        </is>
      </c>
      <c r="E6" s="6" t="inlineStr">
        <is>
          <t>Reuniões de planejamento &amp; resultado com parceiros (Tier A mensal · Tier B bimestral)</t>
        </is>
      </c>
      <c r="F6" s="8" t="inlineStr">
        <is>
          <t>Reuniões de apresentação — proposta de trabalho a parceiros-alvo</t>
        </is>
      </c>
    </row>
    <row r="7" ht="64" customHeight="1">
      <c r="A7" s="3" t="inlineStr">
        <is>
          <t>13h30–15h30</t>
        </is>
      </c>
      <c r="B7" s="5" t="inlineStr">
        <is>
          <t>Contatos de gestão — Tier A / Tier B (mensal)</t>
        </is>
      </c>
      <c r="C7" s="8" t="inlineStr">
        <is>
          <t>Reuniões de apresentação — proposta de trabalho (modelo, papéis, régua, dashboard)</t>
        </is>
      </c>
      <c r="D7" s="7" t="inlineStr">
        <is>
          <t>Visita presencial / reunião de apresentação em campo</t>
        </is>
      </c>
      <c r="E7" s="6" t="inlineStr">
        <is>
          <t>Reuniões de planejamento &amp; resultado com parceiros</t>
        </is>
      </c>
      <c r="F7" s="4" t="inlineStr">
        <is>
          <t>Análise da semana — aderência à régua, Funil 1 (credenciamentos) e Funil 2 (indicações)</t>
        </is>
      </c>
    </row>
    <row r="8" ht="64" customHeight="1">
      <c r="A8" s="3" t="inlineStr">
        <is>
          <t>15h30–17h30</t>
        </is>
      </c>
      <c r="B8" s="8" t="inlineStr">
        <is>
          <t>Prospecção de novos parceiros — entidades (SESCON, ACIs), indicações e follow-ups</t>
        </is>
      </c>
      <c r="C8" s="5" t="inlineStr">
        <is>
          <t>Contatos de gestão — Tier B (ciclo mensal): status das indicações e destrave de contas</t>
        </is>
      </c>
      <c r="D8" s="8" t="inlineStr">
        <is>
          <t>Prospecção de novos parceiros — follow-up de propostas e credenciamentos em curso</t>
        </is>
      </c>
      <c r="E8" s="5" t="inlineStr">
        <is>
          <t>Contatos de gestão — Tier A/B + reativação de inativos (campanha de conta-alvo)</t>
        </is>
      </c>
      <c r="F8" s="4" t="inlineStr">
        <is>
          <t>Registro consolidado + preparação da próxima semana e da pauta da Weekly</t>
        </is>
      </c>
    </row>
    <row r="9" ht="40" customHeight="1">
      <c r="A9" s="3" t="inlineStr">
        <is>
          <t>17h30–18h</t>
        </is>
      </c>
      <c r="B9" s="4" t="inlineStr">
        <is>
          <t>Registro do dia no CRM — atividades e próximos passos datados</t>
        </is>
      </c>
      <c r="C9" s="4" t="inlineStr">
        <is>
          <t>Registro do dia no CRM — atividades e próximos passos datados</t>
        </is>
      </c>
      <c r="D9" s="4" t="inlineStr">
        <is>
          <t>Registro do dia no CRM — atividades e próximos passos datados</t>
        </is>
      </c>
      <c r="E9" s="4" t="inlineStr">
        <is>
          <t>Registro do dia no CRM — atividades e próximos passos datados</t>
        </is>
      </c>
      <c r="F9" s="4" t="inlineStr">
        <is>
          <t>Fechamento — leitura de gestão da semana (o que a carteira está dizendo)</t>
        </is>
      </c>
    </row>
    <row r="11">
      <c r="A11" s="9" t="inlineStr">
        <is>
          <t>Legenda</t>
        </is>
      </c>
    </row>
    <row r="12">
      <c r="A12" s="10" t="n"/>
      <c r="B12" s="11" t="inlineStr">
        <is>
          <t>Gestão de carteira</t>
        </is>
      </c>
    </row>
    <row r="13">
      <c r="A13" s="12" t="n"/>
      <c r="B13" s="11" t="inlineStr">
        <is>
          <t>Prospecção de parceiros</t>
        </is>
      </c>
    </row>
    <row r="14">
      <c r="A14" s="13" t="n"/>
      <c r="B14" s="11" t="inlineStr">
        <is>
          <t>Planejamento conjunto</t>
        </is>
      </c>
    </row>
    <row r="15">
      <c r="A15" s="14" t="n"/>
      <c r="B15" s="11" t="inlineStr">
        <is>
          <t>Campo &amp; visitas</t>
        </is>
      </c>
    </row>
    <row r="16">
      <c r="A16" s="15" t="n"/>
      <c r="B16" s="11" t="inlineStr">
        <is>
          <t>Análise &amp; rituais internos</t>
        </is>
      </c>
    </row>
    <row r="18" ht="26" customHeight="1">
      <c r="A18" s="16" t="inlineStr">
        <is>
          <t>Volumes de referência da semana (PARÂMETRO A VALIDAR): 20–25 ligações de gestão · 10–12 ligações de prospecção · 3–4 reuniões de apresentação · 5–6 reuniões de planejamento &amp; resultado · 1–2 visitas presenciais · evento a cada 45–60 dias.</t>
        </is>
      </c>
    </row>
  </sheetData>
  <mergeCells count="1"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8" customWidth="1" min="4" max="4"/>
    <col width="26" customWidth="1" min="5" max="5"/>
    <col width="32" customWidth="1" min="6" max="6"/>
  </cols>
  <sheetData>
    <row r="1">
      <c r="A1" s="1" t="inlineStr">
        <is>
          <t>Planner semanal do coordenador — modelo replicável</t>
        </is>
      </c>
    </row>
    <row r="2">
      <c r="A2" s="2" t="inlineStr">
        <is>
          <t>Duplicar esta aba a cada semana (Semana de ___/___ a ___/___). Instrumento de planejamento e leitura — não de cobrança.</t>
        </is>
      </c>
    </row>
    <row r="4" ht="26" customHeight="1">
      <c r="A4" s="3" t="inlineStr">
        <is>
          <t>Dia</t>
        </is>
      </c>
      <c r="B4" s="3" t="inlineStr">
        <is>
          <t>Foco de gestão do dia</t>
        </is>
      </c>
      <c r="C4" s="3" t="inlineStr">
        <is>
          <t>Parceiros do ciclo (tier)</t>
        </is>
      </c>
      <c r="D4" s="3" t="inlineStr">
        <is>
          <t>Reuniões agendadas</t>
        </is>
      </c>
      <c r="E4" s="3" t="inlineStr">
        <is>
          <t>Registros no CRM</t>
        </is>
      </c>
      <c r="F4" s="3" t="inlineStr">
        <is>
          <t>Observações do coordenador</t>
        </is>
      </c>
    </row>
    <row r="5" ht="52" customHeight="1">
      <c r="A5" s="17" t="inlineStr">
        <is>
          <t>Segunda</t>
        </is>
      </c>
      <c r="B5" s="18" t="inlineStr"/>
      <c r="C5" s="18" t="inlineStr"/>
      <c r="D5" s="18" t="inlineStr"/>
      <c r="E5" s="18" t="inlineStr"/>
      <c r="F5" s="18" t="inlineStr"/>
    </row>
    <row r="6" ht="52" customHeight="1">
      <c r="A6" s="19" t="inlineStr">
        <is>
          <t>Terça</t>
        </is>
      </c>
      <c r="B6" s="20" t="inlineStr"/>
      <c r="C6" s="20" t="inlineStr"/>
      <c r="D6" s="20" t="inlineStr"/>
      <c r="E6" s="20" t="inlineStr"/>
      <c r="F6" s="20" t="inlineStr"/>
    </row>
    <row r="7" ht="52" customHeight="1">
      <c r="A7" s="17" t="inlineStr">
        <is>
          <t>Quarta</t>
        </is>
      </c>
      <c r="B7" s="18" t="inlineStr"/>
      <c r="C7" s="18" t="inlineStr"/>
      <c r="D7" s="18" t="inlineStr"/>
      <c r="E7" s="18" t="inlineStr"/>
      <c r="F7" s="18" t="inlineStr"/>
    </row>
    <row r="8" ht="52" customHeight="1">
      <c r="A8" s="19" t="inlineStr">
        <is>
          <t>Quinta</t>
        </is>
      </c>
      <c r="B8" s="20" t="inlineStr"/>
      <c r="C8" s="20" t="inlineStr"/>
      <c r="D8" s="20" t="inlineStr"/>
      <c r="E8" s="20" t="inlineStr"/>
      <c r="F8" s="20" t="inlineStr"/>
    </row>
    <row r="9" ht="52" customHeight="1">
      <c r="A9" s="17" t="inlineStr">
        <is>
          <t>Sexta</t>
        </is>
      </c>
      <c r="B9" s="18" t="inlineStr"/>
      <c r="C9" s="18" t="inlineStr"/>
      <c r="D9" s="18" t="inlineStr"/>
      <c r="E9" s="18" t="inlineStr"/>
      <c r="F9" s="18" t="inlineStr"/>
    </row>
    <row r="10" ht="56" customHeight="1">
      <c r="A10" s="21" t="inlineStr">
        <is>
          <t>Fechamento da semana</t>
        </is>
      </c>
      <c r="B10" s="22" t="inlineStr">
        <is>
          <t>O que a semana ensinou (leitura de gestão):</t>
        </is>
      </c>
      <c r="C10" s="22" t="inlineStr">
        <is>
          <t>Parceiros que pedem atenção no próximo ciclo:</t>
        </is>
      </c>
      <c r="D10" s="22" t="inlineStr">
        <is>
          <t>Pauta levada à Weekly com o CCO:</t>
        </is>
      </c>
      <c r="E10" s="22" t="inlineStr">
        <is>
          <t>Pendências de registro:</t>
        </is>
      </c>
      <c r="F10" s="22" t="inlineStr">
        <is>
          <t>Ajustes na semana seguinte: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5" customWidth="1" min="3" max="3"/>
    <col width="16" customWidth="1" min="4" max="4"/>
    <col width="14" customWidth="1" min="5" max="5"/>
    <col width="18" customWidth="1" min="6" max="6"/>
    <col width="42" customWidth="1" min="7" max="7"/>
  </cols>
  <sheetData>
    <row r="1">
      <c r="A1" s="1" t="inlineStr">
        <is>
          <t>Cadência da carteira — régua de contato por tier</t>
        </is>
      </c>
    </row>
    <row r="2">
      <c r="A2" s="2" t="inlineStr">
        <is>
          <t>Tier A = contato efetivo quinzenal (14 dias) · Tier B = mensal (30 dias) · Tier C = régua automatizada (Agente + MKT). Contato efetivo = conversa real, não mensagem sem resposta.</t>
        </is>
      </c>
    </row>
    <row r="4" ht="26" customHeight="1">
      <c r="A4" s="3" t="inlineStr">
        <is>
          <t>Parceiro</t>
        </is>
      </c>
      <c r="B4" s="3" t="inlineStr">
        <is>
          <t>Tier</t>
        </is>
      </c>
      <c r="C4" s="3" t="inlineStr">
        <is>
          <t>Último contato</t>
        </is>
      </c>
      <c r="D4" s="3" t="inlineStr">
        <is>
          <t>Próximo contato</t>
        </is>
      </c>
      <c r="E4" s="3" t="inlineStr">
        <is>
          <t>Plano conjunto</t>
        </is>
      </c>
      <c r="F4" s="3" t="inlineStr">
        <is>
          <t>Status do ciclo</t>
        </is>
      </c>
      <c r="G4" s="3" t="inlineStr">
        <is>
          <t>Notas do coordenador</t>
        </is>
      </c>
    </row>
    <row r="5" ht="20" customHeight="1">
      <c r="A5" s="23" t="inlineStr">
        <is>
          <t>Contabilidade Exemplo A (fictício)</t>
        </is>
      </c>
      <c r="B5" s="24" t="inlineStr">
        <is>
          <t>A</t>
        </is>
      </c>
      <c r="C5" s="25" t="n">
        <v>46265</v>
      </c>
      <c r="D5" s="25">
        <f>IF(OR($B5="",$C5=""),"",IF($B5="A",$C5+14,IF($B5="B",$C5+30,"Régua automatizada")))</f>
        <v/>
      </c>
      <c r="E5" s="23" t="inlineStr">
        <is>
          <t>Sim</t>
        </is>
      </c>
      <c r="F5" s="23" t="inlineStr">
        <is>
          <t>Em dia</t>
        </is>
      </c>
      <c r="G5" s="23" t="inlineStr">
        <is>
          <t>Plano conjunto do ciclo vigente; 2 contas-alvo em abertura.</t>
        </is>
      </c>
    </row>
    <row r="6" ht="20" customHeight="1">
      <c r="A6" s="26" t="inlineStr">
        <is>
          <t>BPO Financeiro Exemplo (fictício)</t>
        </is>
      </c>
      <c r="B6" s="27" t="inlineStr">
        <is>
          <t>A</t>
        </is>
      </c>
      <c r="C6" s="28" t="n">
        <v>46251</v>
      </c>
      <c r="D6" s="28">
        <f>IF(OR($B6="",$C6=""),"",IF($B6="A",$C6+14,IF($B6="B",$C6+30,"Régua automatizada")))</f>
        <v/>
      </c>
      <c r="E6" s="26" t="inlineStr">
        <is>
          <t>Sim</t>
        </is>
      </c>
      <c r="F6" s="26" t="inlineStr">
        <is>
          <t>Contato pendente</t>
        </is>
      </c>
      <c r="G6" s="26" t="inlineStr">
        <is>
          <t>Reagendar contato quinzenal; conferir indicação no funil.</t>
        </is>
      </c>
    </row>
    <row r="7" ht="20" customHeight="1">
      <c r="A7" s="23" t="inlineStr">
        <is>
          <t>Consultoria de Negócios Exemplo (fictício)</t>
        </is>
      </c>
      <c r="B7" s="24" t="inlineStr">
        <is>
          <t>B</t>
        </is>
      </c>
      <c r="C7" s="25" t="n">
        <v>46254</v>
      </c>
      <c r="D7" s="25">
        <f>IF(OR($B7="",$C7=""),"",IF($B7="A",$C7+14,IF($B7="B",$C7+30,"Régua automatizada")))</f>
        <v/>
      </c>
      <c r="E7" s="23" t="inlineStr">
        <is>
          <t>Sim</t>
        </is>
      </c>
      <c r="F7" s="23" t="inlineStr">
        <is>
          <t>Em dia</t>
        </is>
      </c>
      <c r="G7" s="23" t="inlineStr">
        <is>
          <t>Reunião de resultado bimestral prevista para o próximo ciclo.</t>
        </is>
      </c>
    </row>
    <row r="8" ht="20" customHeight="1">
      <c r="A8" s="26" t="inlineStr">
        <is>
          <t>Escritório Jurídico Exemplo (fictício)</t>
        </is>
      </c>
      <c r="B8" s="27" t="inlineStr">
        <is>
          <t>B</t>
        </is>
      </c>
      <c r="C8" s="28" t="n">
        <v>46244</v>
      </c>
      <c r="D8" s="28">
        <f>IF(OR($B8="",$C8=""),"",IF($B8="A",$C8+14,IF($B8="B",$C8+30,"Régua automatizada")))</f>
        <v/>
      </c>
      <c r="E8" s="26" t="inlineStr">
        <is>
          <t>Não</t>
        </is>
      </c>
      <c r="F8" s="26" t="inlineStr">
        <is>
          <t>Reativação</t>
        </is>
      </c>
      <c r="G8" s="26" t="inlineStr">
        <is>
          <t>Perfil jurídico: credenciamento condicionado ao parecer do CLO.</t>
        </is>
      </c>
    </row>
    <row r="9" ht="20" customHeight="1">
      <c r="A9" s="23" t="inlineStr">
        <is>
          <t>Representante Comercial Exemplo (fictício)</t>
        </is>
      </c>
      <c r="B9" s="24" t="inlineStr">
        <is>
          <t>C</t>
        </is>
      </c>
      <c r="C9" s="25" t="n">
        <v>46218</v>
      </c>
      <c r="D9" s="25">
        <f>IF(OR($B9="",$C9=""),"",IF($B9="A",$C9+14,IF($B9="B",$C9+30,"Régua automatizada")))</f>
        <v/>
      </c>
      <c r="E9" s="23" t="inlineStr">
        <is>
          <t>Não</t>
        </is>
      </c>
      <c r="F9" s="23" t="inlineStr">
        <is>
          <t>Régua automatizada</t>
        </is>
      </c>
      <c r="G9" s="23" t="inlineStr">
        <is>
          <t>Tier C: conteúdo, convites a eventos e gatilhos via Agente/MKT.</t>
        </is>
      </c>
    </row>
    <row r="10" ht="20" customHeight="1">
      <c r="A10" s="26" t="n"/>
      <c r="B10" s="27" t="n"/>
      <c r="C10" s="28" t="n"/>
      <c r="D10" s="28">
        <f>IF(OR($B10="",$C10=""),"",IF($B10="A",$C10+14,IF($B10="B",$C10+30,"Régua automatizada")))</f>
        <v/>
      </c>
      <c r="E10" s="26" t="n"/>
      <c r="F10" s="26" t="n"/>
      <c r="G10" s="26" t="n"/>
    </row>
    <row r="11" ht="20" customHeight="1">
      <c r="A11" s="23" t="n"/>
      <c r="B11" s="24" t="n"/>
      <c r="C11" s="25" t="n"/>
      <c r="D11" s="25">
        <f>IF(OR($B11="",$C11=""),"",IF($B11="A",$C11+14,IF($B11="B",$C11+30,"Régua automatizada")))</f>
        <v/>
      </c>
      <c r="E11" s="23" t="n"/>
      <c r="F11" s="23" t="n"/>
      <c r="G11" s="23" t="n"/>
    </row>
    <row r="12" ht="20" customHeight="1">
      <c r="A12" s="26" t="n"/>
      <c r="B12" s="27" t="n"/>
      <c r="C12" s="28" t="n"/>
      <c r="D12" s="28">
        <f>IF(OR($B12="",$C12=""),"",IF($B12="A",$C12+14,IF($B12="B",$C12+30,"Régua automatizada")))</f>
        <v/>
      </c>
      <c r="E12" s="26" t="n"/>
      <c r="F12" s="26" t="n"/>
      <c r="G12" s="26" t="n"/>
    </row>
    <row r="13" ht="20" customHeight="1">
      <c r="A13" s="23" t="n"/>
      <c r="B13" s="24" t="n"/>
      <c r="C13" s="25" t="n"/>
      <c r="D13" s="25">
        <f>IF(OR($B13="",$C13=""),"",IF($B13="A",$C13+14,IF($B13="B",$C13+30,"Régua automatizada")))</f>
        <v/>
      </c>
      <c r="E13" s="23" t="n"/>
      <c r="F13" s="23" t="n"/>
      <c r="G13" s="23" t="n"/>
    </row>
    <row r="14" ht="20" customHeight="1">
      <c r="A14" s="26" t="n"/>
      <c r="B14" s="27" t="n"/>
      <c r="C14" s="28" t="n"/>
      <c r="D14" s="28">
        <f>IF(OR($B14="",$C14=""),"",IF($B14="A",$C14+14,IF($B14="B",$C14+30,"Régua automatizada")))</f>
        <v/>
      </c>
      <c r="E14" s="26" t="n"/>
      <c r="F14" s="26" t="n"/>
      <c r="G14" s="26" t="n"/>
    </row>
    <row r="15" ht="20" customHeight="1">
      <c r="A15" s="23" t="n"/>
      <c r="B15" s="24" t="n"/>
      <c r="C15" s="25" t="n"/>
      <c r="D15" s="25">
        <f>IF(OR($B15="",$C15=""),"",IF($B15="A",$C15+14,IF($B15="B",$C15+30,"Régua automatizada")))</f>
        <v/>
      </c>
      <c r="E15" s="23" t="n"/>
      <c r="F15" s="23" t="n"/>
      <c r="G15" s="23" t="n"/>
    </row>
    <row r="16" ht="20" customHeight="1">
      <c r="A16" s="26" t="n"/>
      <c r="B16" s="27" t="n"/>
      <c r="C16" s="28" t="n"/>
      <c r="D16" s="28">
        <f>IF(OR($B16="",$C16=""),"",IF($B16="A",$C16+14,IF($B16="B",$C16+30,"Régua automatizada")))</f>
        <v/>
      </c>
      <c r="E16" s="26" t="n"/>
      <c r="F16" s="26" t="n"/>
      <c r="G16" s="26" t="n"/>
    </row>
    <row r="17" ht="20" customHeight="1">
      <c r="A17" s="23" t="n"/>
      <c r="B17" s="24" t="n"/>
      <c r="C17" s="25" t="n"/>
      <c r="D17" s="25">
        <f>IF(OR($B17="",$C17=""),"",IF($B17="A",$C17+14,IF($B17="B",$C17+30,"Régua automatizada")))</f>
        <v/>
      </c>
      <c r="E17" s="23" t="n"/>
      <c r="F17" s="23" t="n"/>
      <c r="G17" s="23" t="n"/>
    </row>
    <row r="18" ht="20" customHeight="1">
      <c r="A18" s="26" t="n"/>
      <c r="B18" s="27" t="n"/>
      <c r="C18" s="28" t="n"/>
      <c r="D18" s="28">
        <f>IF(OR($B18="",$C18=""),"",IF($B18="A",$C18+14,IF($B18="B",$C18+30,"Régua automatizada")))</f>
        <v/>
      </c>
      <c r="E18" s="26" t="n"/>
      <c r="F18" s="26" t="n"/>
      <c r="G18" s="26" t="n"/>
    </row>
    <row r="19" ht="20" customHeight="1">
      <c r="A19" s="23" t="n"/>
      <c r="B19" s="24" t="n"/>
      <c r="C19" s="25" t="n"/>
      <c r="D19" s="25">
        <f>IF(OR($B19="",$C19=""),"",IF($B19="A",$C19+14,IF($B19="B",$C19+30,"Régua automatizada")))</f>
        <v/>
      </c>
      <c r="E19" s="23" t="n"/>
      <c r="F19" s="23" t="n"/>
      <c r="G19" s="23" t="n"/>
    </row>
    <row r="20" ht="20" customHeight="1">
      <c r="A20" s="26" t="n"/>
      <c r="B20" s="27" t="n"/>
      <c r="C20" s="28" t="n"/>
      <c r="D20" s="28">
        <f>IF(OR($B20="",$C20=""),"",IF($B20="A",$C20+14,IF($B20="B",$C20+30,"Régua automatizada")))</f>
        <v/>
      </c>
      <c r="E20" s="26" t="n"/>
      <c r="F20" s="26" t="n"/>
      <c r="G20" s="26" t="n"/>
    </row>
    <row r="21" ht="20" customHeight="1">
      <c r="A21" s="23" t="n"/>
      <c r="B21" s="24" t="n"/>
      <c r="C21" s="25" t="n"/>
      <c r="D21" s="25">
        <f>IF(OR($B21="",$C21=""),"",IF($B21="A",$C21+14,IF($B21="B",$C21+30,"Régua automatizada")))</f>
        <v/>
      </c>
      <c r="E21" s="23" t="n"/>
      <c r="F21" s="23" t="n"/>
      <c r="G21" s="23" t="n"/>
    </row>
    <row r="22" ht="20" customHeight="1">
      <c r="A22" s="26" t="n"/>
      <c r="B22" s="27" t="n"/>
      <c r="C22" s="28" t="n"/>
      <c r="D22" s="28">
        <f>IF(OR($B22="",$C22=""),"",IF($B22="A",$C22+14,IF($B22="B",$C22+30,"Régua automatizada")))</f>
        <v/>
      </c>
      <c r="E22" s="26" t="n"/>
      <c r="F22" s="26" t="n"/>
      <c r="G22" s="26" t="n"/>
    </row>
    <row r="23" ht="20" customHeight="1">
      <c r="A23" s="23" t="n"/>
      <c r="B23" s="24" t="n"/>
      <c r="C23" s="25" t="n"/>
      <c r="D23" s="25">
        <f>IF(OR($B23="",$C23=""),"",IF($B23="A",$C23+14,IF($B23="B",$C23+30,"Régua automatizada")))</f>
        <v/>
      </c>
      <c r="E23" s="23" t="n"/>
      <c r="F23" s="23" t="n"/>
      <c r="G23" s="23" t="n"/>
    </row>
    <row r="24" ht="20" customHeight="1">
      <c r="A24" s="26" t="n"/>
      <c r="B24" s="27" t="n"/>
      <c r="C24" s="28" t="n"/>
      <c r="D24" s="28">
        <f>IF(OR($B24="",$C24=""),"",IF($B24="A",$C24+14,IF($B24="B",$C24+30,"Régua automatizada")))</f>
        <v/>
      </c>
      <c r="E24" s="26" t="n"/>
      <c r="F24" s="26" t="n"/>
      <c r="G24" s="26" t="n"/>
    </row>
    <row r="25" ht="20" customHeight="1">
      <c r="A25" s="23" t="n"/>
      <c r="B25" s="24" t="n"/>
      <c r="C25" s="25" t="n"/>
      <c r="D25" s="25">
        <f>IF(OR($B25="",$C25=""),"",IF($B25="A",$C25+14,IF($B25="B",$C25+30,"Régua automatizada")))</f>
        <v/>
      </c>
      <c r="E25" s="23" t="n"/>
      <c r="F25" s="23" t="n"/>
      <c r="G25" s="23" t="n"/>
    </row>
    <row r="26" ht="20" customHeight="1">
      <c r="A26" s="26" t="n"/>
      <c r="B26" s="27" t="n"/>
      <c r="C26" s="28" t="n"/>
      <c r="D26" s="28">
        <f>IF(OR($B26="",$C26=""),"",IF($B26="A",$C26+14,IF($B26="B",$C26+30,"Régua automatizada")))</f>
        <v/>
      </c>
      <c r="E26" s="26" t="n"/>
      <c r="F26" s="26" t="n"/>
      <c r="G26" s="26" t="n"/>
    </row>
    <row r="27" ht="20" customHeight="1">
      <c r="A27" s="23" t="n"/>
      <c r="B27" s="24" t="n"/>
      <c r="C27" s="25" t="n"/>
      <c r="D27" s="25">
        <f>IF(OR($B27="",$C27=""),"",IF($B27="A",$C27+14,IF($B27="B",$C27+30,"Régua automatizada")))</f>
        <v/>
      </c>
      <c r="E27" s="23" t="n"/>
      <c r="F27" s="23" t="n"/>
      <c r="G27" s="23" t="n"/>
    </row>
    <row r="28" ht="20" customHeight="1">
      <c r="A28" s="26" t="n"/>
      <c r="B28" s="27" t="n"/>
      <c r="C28" s="28" t="n"/>
      <c r="D28" s="28">
        <f>IF(OR($B28="",$C28=""),"",IF($B28="A",$C28+14,IF($B28="B",$C28+30,"Régua automatizada")))</f>
        <v/>
      </c>
      <c r="E28" s="26" t="n"/>
      <c r="F28" s="26" t="n"/>
      <c r="G28" s="26" t="n"/>
    </row>
    <row r="29" ht="20" customHeight="1">
      <c r="A29" s="23" t="n"/>
      <c r="B29" s="24" t="n"/>
      <c r="C29" s="25" t="n"/>
      <c r="D29" s="25">
        <f>IF(OR($B29="",$C29=""),"",IF($B29="A",$C29+14,IF($B29="B",$C29+30,"Régua automatizada")))</f>
        <v/>
      </c>
      <c r="E29" s="23" t="n"/>
      <c r="F29" s="23" t="n"/>
      <c r="G29" s="23" t="n"/>
    </row>
    <row r="30" ht="20" customHeight="1">
      <c r="A30" s="26" t="n"/>
      <c r="B30" s="27" t="n"/>
      <c r="C30" s="28" t="n"/>
      <c r="D30" s="28">
        <f>IF(OR($B30="",$C30=""),"",IF($B30="A",$C30+14,IF($B30="B",$C30+30,"Régua automatizada")))</f>
        <v/>
      </c>
      <c r="E30" s="26" t="n"/>
      <c r="F30" s="26" t="n"/>
      <c r="G30" s="26" t="n"/>
    </row>
    <row r="31" ht="20" customHeight="1">
      <c r="A31" s="23" t="n"/>
      <c r="B31" s="24" t="n"/>
      <c r="C31" s="25" t="n"/>
      <c r="D31" s="25">
        <f>IF(OR($B31="",$C31=""),"",IF($B31="A",$C31+14,IF($B31="B",$C31+30,"Régua automatizada")))</f>
        <v/>
      </c>
      <c r="E31" s="23" t="n"/>
      <c r="F31" s="23" t="n"/>
      <c r="G31" s="23" t="n"/>
    </row>
    <row r="32" ht="20" customHeight="1">
      <c r="A32" s="26" t="n"/>
      <c r="B32" s="27" t="n"/>
      <c r="C32" s="28" t="n"/>
      <c r="D32" s="28">
        <f>IF(OR($B32="",$C32=""),"",IF($B32="A",$C32+14,IF($B32="B",$C32+30,"Régua automatizada")))</f>
        <v/>
      </c>
      <c r="E32" s="26" t="n"/>
      <c r="F32" s="26" t="n"/>
      <c r="G32" s="26" t="n"/>
    </row>
    <row r="33" ht="20" customHeight="1">
      <c r="A33" s="23" t="n"/>
      <c r="B33" s="24" t="n"/>
      <c r="C33" s="25" t="n"/>
      <c r="D33" s="25">
        <f>IF(OR($B33="",$C33=""),"",IF($B33="A",$C33+14,IF($B33="B",$C33+30,"Régua automatizada")))</f>
        <v/>
      </c>
      <c r="E33" s="23" t="n"/>
      <c r="F33" s="23" t="n"/>
      <c r="G33" s="23" t="n"/>
    </row>
    <row r="34" ht="20" customHeight="1">
      <c r="A34" s="26" t="n"/>
      <c r="B34" s="27" t="n"/>
      <c r="C34" s="28" t="n"/>
      <c r="D34" s="28">
        <f>IF(OR($B34="",$C34=""),"",IF($B34="A",$C34+14,IF($B34="B",$C34+30,"Régua automatizada")))</f>
        <v/>
      </c>
      <c r="E34" s="26" t="n"/>
      <c r="F34" s="26" t="n"/>
      <c r="G34" s="26" t="n"/>
    </row>
    <row r="35" ht="20" customHeight="1">
      <c r="A35" s="23" t="n"/>
      <c r="B35" s="24" t="n"/>
      <c r="C35" s="25" t="n"/>
      <c r="D35" s="25">
        <f>IF(OR($B35="",$C35=""),"",IF($B35="A",$C35+14,IF($B35="B",$C35+30,"Régua automatizada")))</f>
        <v/>
      </c>
      <c r="E35" s="23" t="n"/>
      <c r="F35" s="23" t="n"/>
      <c r="G35" s="23" t="n"/>
    </row>
    <row r="36" ht="20" customHeight="1">
      <c r="A36" s="26" t="n"/>
      <c r="B36" s="27" t="n"/>
      <c r="C36" s="28" t="n"/>
      <c r="D36" s="28">
        <f>IF(OR($B36="",$C36=""),"",IF($B36="A",$C36+14,IF($B36="B",$C36+30,"Régua automatizada")))</f>
        <v/>
      </c>
      <c r="E36" s="26" t="n"/>
      <c r="F36" s="26" t="n"/>
      <c r="G36" s="26" t="n"/>
    </row>
    <row r="37" ht="20" customHeight="1">
      <c r="A37" s="23" t="n"/>
      <c r="B37" s="24" t="n"/>
      <c r="C37" s="25" t="n"/>
      <c r="D37" s="25">
        <f>IF(OR($B37="",$C37=""),"",IF($B37="A",$C37+14,IF($B37="B",$C37+30,"Régua automatizada")))</f>
        <v/>
      </c>
      <c r="E37" s="23" t="n"/>
      <c r="F37" s="23" t="n"/>
      <c r="G37" s="23" t="n"/>
    </row>
    <row r="38" ht="20" customHeight="1">
      <c r="A38" s="26" t="n"/>
      <c r="B38" s="27" t="n"/>
      <c r="C38" s="28" t="n"/>
      <c r="D38" s="28">
        <f>IF(OR($B38="",$C38=""),"",IF($B38="A",$C38+14,IF($B38="B",$C38+30,"Régua automatizada")))</f>
        <v/>
      </c>
      <c r="E38" s="26" t="n"/>
      <c r="F38" s="26" t="n"/>
      <c r="G38" s="26" t="n"/>
    </row>
    <row r="39" ht="20" customHeight="1">
      <c r="A39" s="23" t="n"/>
      <c r="B39" s="24" t="n"/>
      <c r="C39" s="25" t="n"/>
      <c r="D39" s="25">
        <f>IF(OR($B39="",$C39=""),"",IF($B39="A",$C39+14,IF($B39="B",$C39+30,"Régua automatizada")))</f>
        <v/>
      </c>
      <c r="E39" s="23" t="n"/>
      <c r="F39" s="23" t="n"/>
      <c r="G39" s="23" t="n"/>
    </row>
    <row r="40" ht="20" customHeight="1">
      <c r="A40" s="26" t="n"/>
      <c r="B40" s="27" t="n"/>
      <c r="C40" s="28" t="n"/>
      <c r="D40" s="28">
        <f>IF(OR($B40="",$C40=""),"",IF($B40="A",$C40+14,IF($B40="B",$C40+30,"Régua automatizada")))</f>
        <v/>
      </c>
      <c r="E40" s="26" t="n"/>
      <c r="F40" s="26" t="n"/>
      <c r="G40" s="26" t="n"/>
    </row>
    <row r="41" ht="20" customHeight="1">
      <c r="A41" s="23" t="n"/>
      <c r="B41" s="24" t="n"/>
      <c r="C41" s="25" t="n"/>
      <c r="D41" s="25">
        <f>IF(OR($B41="",$C41=""),"",IF($B41="A",$C41+14,IF($B41="B",$C41+30,"Régua automatizada")))</f>
        <v/>
      </c>
      <c r="E41" s="23" t="n"/>
      <c r="F41" s="23" t="n"/>
      <c r="G41" s="23" t="n"/>
    </row>
    <row r="42" ht="20" customHeight="1">
      <c r="A42" s="26" t="n"/>
      <c r="B42" s="27" t="n"/>
      <c r="C42" s="28" t="n"/>
      <c r="D42" s="28">
        <f>IF(OR($B42="",$C42=""),"",IF($B42="A",$C42+14,IF($B42="B",$C42+30,"Régua automatizada")))</f>
        <v/>
      </c>
      <c r="E42" s="26" t="n"/>
      <c r="F42" s="26" t="n"/>
      <c r="G42" s="26" t="n"/>
    </row>
    <row r="43" ht="20" customHeight="1">
      <c r="A43" s="23" t="n"/>
      <c r="B43" s="24" t="n"/>
      <c r="C43" s="25" t="n"/>
      <c r="D43" s="25">
        <f>IF(OR($B43="",$C43=""),"",IF($B43="A",$C43+14,IF($B43="B",$C43+30,"Régua automatizada")))</f>
        <v/>
      </c>
      <c r="E43" s="23" t="n"/>
      <c r="F43" s="23" t="n"/>
      <c r="G43" s="23" t="n"/>
    </row>
    <row r="44" ht="20" customHeight="1">
      <c r="A44" s="26" t="n"/>
      <c r="B44" s="27" t="n"/>
      <c r="C44" s="28" t="n"/>
      <c r="D44" s="28">
        <f>IF(OR($B44="",$C44=""),"",IF($B44="A",$C44+14,IF($B44="B",$C44+30,"Régua automatizada")))</f>
        <v/>
      </c>
      <c r="E44" s="26" t="n"/>
      <c r="F44" s="26" t="n"/>
      <c r="G44" s="26" t="n"/>
    </row>
    <row r="45" ht="20" customHeight="1">
      <c r="A45" s="23" t="n"/>
      <c r="B45" s="24" t="n"/>
      <c r="C45" s="25" t="n"/>
      <c r="D45" s="25">
        <f>IF(OR($B45="",$C45=""),"",IF($B45="A",$C45+14,IF($B45="B",$C45+30,"Régua automatizada")))</f>
        <v/>
      </c>
      <c r="E45" s="23" t="n"/>
      <c r="F45" s="23" t="n"/>
      <c r="G45" s="23" t="n"/>
    </row>
    <row r="46" ht="20" customHeight="1">
      <c r="A46" s="26" t="n"/>
      <c r="B46" s="27" t="n"/>
      <c r="C46" s="28" t="n"/>
      <c r="D46" s="28">
        <f>IF(OR($B46="",$C46=""),"",IF($B46="A",$C46+14,IF($B46="B",$C46+30,"Régua automatizada")))</f>
        <v/>
      </c>
      <c r="E46" s="26" t="n"/>
      <c r="F46" s="26" t="n"/>
      <c r="G46" s="26" t="n"/>
    </row>
    <row r="47" ht="20" customHeight="1">
      <c r="A47" s="23" t="n"/>
      <c r="B47" s="24" t="n"/>
      <c r="C47" s="25" t="n"/>
      <c r="D47" s="25">
        <f>IF(OR($B47="",$C47=""),"",IF($B47="A",$C47+14,IF($B47="B",$C47+30,"Régua automatizada")))</f>
        <v/>
      </c>
      <c r="E47" s="23" t="n"/>
      <c r="F47" s="23" t="n"/>
      <c r="G47" s="23" t="n"/>
    </row>
    <row r="48" ht="20" customHeight="1">
      <c r="A48" s="26" t="n"/>
      <c r="B48" s="27" t="n"/>
      <c r="C48" s="28" t="n"/>
      <c r="D48" s="28">
        <f>IF(OR($B48="",$C48=""),"",IF($B48="A",$C48+14,IF($B48="B",$C48+30,"Régua automatizada")))</f>
        <v/>
      </c>
      <c r="E48" s="26" t="n"/>
      <c r="F48" s="26" t="n"/>
      <c r="G48" s="26" t="n"/>
    </row>
    <row r="49" ht="20" customHeight="1">
      <c r="A49" s="23" t="n"/>
      <c r="B49" s="24" t="n"/>
      <c r="C49" s="25" t="n"/>
      <c r="D49" s="25">
        <f>IF(OR($B49="",$C49=""),"",IF($B49="A",$C49+14,IF($B49="B",$C49+30,"Régua automatizada")))</f>
        <v/>
      </c>
      <c r="E49" s="23" t="n"/>
      <c r="F49" s="23" t="n"/>
      <c r="G49" s="23" t="n"/>
    </row>
    <row r="50" ht="20" customHeight="1">
      <c r="A50" s="26" t="n"/>
      <c r="B50" s="27" t="n"/>
      <c r="C50" s="28" t="n"/>
      <c r="D50" s="28">
        <f>IF(OR($B50="",$C50=""),"",IF($B50="A",$C50+14,IF($B50="B",$C50+30,"Régua automatizada")))</f>
        <v/>
      </c>
      <c r="E50" s="26" t="n"/>
      <c r="F50" s="26" t="n"/>
      <c r="G50" s="26" t="n"/>
    </row>
    <row r="51" ht="20" customHeight="1">
      <c r="A51" s="23" t="n"/>
      <c r="B51" s="24" t="n"/>
      <c r="C51" s="25" t="n"/>
      <c r="D51" s="25">
        <f>IF(OR($B51="",$C51=""),"",IF($B51="A",$C51+14,IF($B51="B",$C51+30,"Régua automatizada")))</f>
        <v/>
      </c>
      <c r="E51" s="23" t="n"/>
      <c r="F51" s="23" t="n"/>
      <c r="G51" s="23" t="n"/>
    </row>
    <row r="52" ht="20" customHeight="1">
      <c r="A52" s="26" t="n"/>
      <c r="B52" s="27" t="n"/>
      <c r="C52" s="28" t="n"/>
      <c r="D52" s="28">
        <f>IF(OR($B52="",$C52=""),"",IF($B52="A",$C52+14,IF($B52="B",$C52+30,"Régua automatizada")))</f>
        <v/>
      </c>
      <c r="E52" s="26" t="n"/>
      <c r="F52" s="26" t="n"/>
      <c r="G52" s="26" t="n"/>
    </row>
    <row r="53" ht="20" customHeight="1">
      <c r="A53" s="23" t="n"/>
      <c r="B53" s="24" t="n"/>
      <c r="C53" s="25" t="n"/>
      <c r="D53" s="25">
        <f>IF(OR($B53="",$C53=""),"",IF($B53="A",$C53+14,IF($B53="B",$C53+30,"Régua automatizada")))</f>
        <v/>
      </c>
      <c r="E53" s="23" t="n"/>
      <c r="F53" s="23" t="n"/>
      <c r="G53" s="23" t="n"/>
    </row>
    <row r="54" ht="20" customHeight="1">
      <c r="A54" s="26" t="n"/>
      <c r="B54" s="27" t="n"/>
      <c r="C54" s="28" t="n"/>
      <c r="D54" s="28">
        <f>IF(OR($B54="",$C54=""),"",IF($B54="A",$C54+14,IF($B54="B",$C54+30,"Régua automatizada")))</f>
        <v/>
      </c>
      <c r="E54" s="26" t="n"/>
      <c r="F54" s="26" t="n"/>
      <c r="G54" s="26" t="n"/>
    </row>
  </sheetData>
  <conditionalFormatting sqref="D5:D54">
    <cfRule type="expression" priority="1" dxfId="0" stopIfTrue="1">
      <formula>AND(ISNUMBER($D5),$D5&lt;TODAY())</formula>
    </cfRule>
    <cfRule type="expression" priority="2" dxfId="1" stopIfTrue="1">
      <formula>AND(ISNUMBER($D5),$D5&lt;=TODAY()+3)</formula>
    </cfRule>
  </conditionalFormatting>
  <dataValidations count="3">
    <dataValidation sqref="B5:B54" showDropDown="0" showInputMessage="0" showErrorMessage="0" allowBlank="1" promptTitle="Tier" prompt="A = quinzenal · B = mensal · C = automatizada" type="list">
      <formula1>"A,B,C"</formula1>
    </dataValidation>
    <dataValidation sqref="E5:E54" showDropDown="0" showInputMessage="0" showErrorMessage="0" allowBlank="1" type="list">
      <formula1>"Sim,Não"</formula1>
    </dataValidation>
    <dataValidation sqref="F5:F54" showDropDown="0" showInputMessage="0" showErrorMessage="0" allowBlank="1" type="list">
      <formula1>"Em dia,Contato pendente,Reativação,Stand-by,Régua automatizada"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24" customWidth="1" min="4" max="4"/>
    <col width="30" customWidth="1" min="5" max="5"/>
    <col width="30" customWidth="1" min="6" max="6"/>
  </cols>
  <sheetData>
    <row r="1">
      <c r="A1" s="1" t="inlineStr">
        <is>
          <t>Rituais &amp; ciclo de gestão do canal</t>
        </is>
      </c>
    </row>
    <row r="2">
      <c r="A2" s="2" t="inlineStr">
        <is>
          <t>Calendário de gestão do Playbook v1 (Seção 6.7) — cada ritual declara o que o alimenta (entrada) e o que produz (saída).</t>
        </is>
      </c>
    </row>
    <row r="4" ht="26" customHeight="1">
      <c r="A4" s="3" t="inlineStr">
        <is>
          <t>Ritual</t>
        </is>
      </c>
      <c r="B4" s="3" t="inlineStr">
        <is>
          <t>Frequência</t>
        </is>
      </c>
      <c r="C4" s="3" t="inlineStr">
        <is>
          <t>Propósito de gestão</t>
        </is>
      </c>
      <c r="D4" s="3" t="inlineStr">
        <is>
          <t>Participantes</t>
        </is>
      </c>
      <c r="E4" s="3" t="inlineStr">
        <is>
          <t>Entrada (o que alimenta)</t>
        </is>
      </c>
      <c r="F4" s="3" t="inlineStr">
        <is>
          <t>Saída (o que produz)</t>
        </is>
      </c>
    </row>
    <row r="5" ht="46" customHeight="1">
      <c r="A5" s="29" t="inlineStr">
        <is>
          <t>Weekly de Parcerias (CCO)</t>
        </is>
      </c>
      <c r="B5" s="18" t="inlineStr">
        <is>
          <t>Semanal · terças · 45 min</t>
        </is>
      </c>
      <c r="C5" s="18" t="inlineStr">
        <is>
          <t>Alinhamento do canal: mapeamento, pipeline de indicados, onboarding e exceções</t>
        </is>
      </c>
      <c r="D5" s="18" t="inlineStr">
        <is>
          <t>Ulisses + Cleber Candia (CCO &amp; CSO)</t>
        </is>
      </c>
      <c r="E5" s="18" t="inlineStr">
        <is>
          <t>Planner da semana, dashboard do funil, pendências de roteamento</t>
        </is>
      </c>
      <c r="F5" s="18" t="inlineStr">
        <is>
          <t>Decisões de exceção, prioridades da semana, pauta registrada</t>
        </is>
      </c>
    </row>
    <row r="6" ht="46" customHeight="1">
      <c r="A6" s="30" t="inlineStr">
        <is>
          <t>Contato efetivo Tier A</t>
        </is>
      </c>
      <c r="B6" s="20" t="inlineStr">
        <is>
          <t>Quinzenal (a cada 14 dias)</t>
        </is>
      </c>
      <c r="C6" s="20" t="inlineStr">
        <is>
          <t>Manter a carteira estratégica em movimento: pipeline, contas-alvo e próxima abertura</t>
        </is>
      </c>
      <c r="D6" s="20" t="inlineStr">
        <is>
          <t>Coordenador + parceiro</t>
        </is>
      </c>
      <c r="E6" s="20" t="inlineStr">
        <is>
          <t>Cadência da carteira, plano conjunto vigente, status das indicações</t>
        </is>
      </c>
      <c r="F6" s="20" t="inlineStr">
        <is>
          <t>Atividade no CRM + próximo passo datado</t>
        </is>
      </c>
    </row>
    <row r="7" ht="46" customHeight="1">
      <c r="A7" s="29" t="inlineStr">
        <is>
          <t>Contato efetivo Tier B</t>
        </is>
      </c>
      <c r="B7" s="18" t="inlineStr">
        <is>
          <t>Mensal (a cada 30 dias)</t>
        </is>
      </c>
      <c r="C7" s="18" t="inlineStr">
        <is>
          <t>Acompanhar status das indicações e destravar contas</t>
        </is>
      </c>
      <c r="D7" s="18" t="inlineStr">
        <is>
          <t>Coordenador + parceiro</t>
        </is>
      </c>
      <c r="E7" s="18" t="inlineStr">
        <is>
          <t>Cadência da carteira, funil de indicações</t>
        </is>
      </c>
      <c r="F7" s="18" t="inlineStr">
        <is>
          <t>Atividade no CRM + próximo passo datado</t>
        </is>
      </c>
    </row>
    <row r="8" ht="46" customHeight="1">
      <c r="A8" s="30" t="inlineStr">
        <is>
          <t>Régua Tier C (automatizada)</t>
        </is>
      </c>
      <c r="B8" s="20" t="inlineStr">
        <is>
          <t>Contínua</t>
        </is>
      </c>
      <c r="C8" s="20" t="inlineStr">
        <is>
          <t>Manter presença de marca e gatilhos de reativação sem consumir agenda</t>
        </is>
      </c>
      <c r="D8" s="20" t="inlineStr">
        <is>
          <t>Agente de CRM + Marketing</t>
        </is>
      </c>
      <c r="E8" s="20" t="inlineStr">
        <is>
          <t>Base Tier C segmentada, calendário de conteúdo/eventos</t>
        </is>
      </c>
      <c r="F8" s="20" t="inlineStr">
        <is>
          <t>Disparos registrados, alertas de inatividade, gatilhos de reativação</t>
        </is>
      </c>
    </row>
    <row r="9" ht="46" customHeight="1">
      <c r="A9" s="29" t="inlineStr">
        <is>
          <t>Reunião de planejamento &amp; resultado</t>
        </is>
      </c>
      <c r="B9" s="18" t="inlineStr">
        <is>
          <t>Mensal (Tier A) · Bimestral (Tier B)</t>
        </is>
      </c>
      <c r="C9" s="18" t="inlineStr">
        <is>
          <t>Planejamento &amp; resultado com o parceiro: conversões, qualidade da indicação e plano do próximo ciclo</t>
        </is>
      </c>
      <c r="D9" s="18" t="inlineStr">
        <is>
          <t>Coordenador + parceiro (+ executivo se houver conta ativa)</t>
        </is>
      </c>
      <c r="E9" s="18" t="inlineStr">
        <is>
          <t>Plano conjunto, pipeline da carteira, feedback de vendas</t>
        </is>
      </c>
      <c r="F9" s="18" t="inlineStr">
        <is>
          <t>Ata + plano conjunto revisado + saúde das contas (sensor de CS)</t>
        </is>
      </c>
    </row>
    <row r="10" ht="46" customHeight="1">
      <c r="A10" s="30" t="inlineStr">
        <is>
          <t>Revisão mensal de carteira</t>
        </is>
      </c>
      <c r="B10" s="20" t="inlineStr">
        <is>
          <t>Mensal</t>
        </is>
      </c>
      <c r="C10" s="20" t="inlineStr">
        <is>
          <t>Leitura de gestão da base: tiers, status, aderência à régua e reativações</t>
        </is>
      </c>
      <c r="D10" s="20" t="inlineStr">
        <is>
          <t>Coordenador (prepara) + CCO (valida)</t>
        </is>
      </c>
      <c r="E10" s="20" t="inlineStr">
        <is>
          <t>Cadência da carteira, Painel do Coordenador do mês</t>
        </is>
      </c>
      <c r="F10" s="20" t="inlineStr">
        <is>
          <t>Reclassificação de tier/status, campanhas de conta-alvo, pauta da Weekly</t>
        </is>
      </c>
    </row>
    <row r="11" ht="46" customHeight="1">
      <c r="A11" s="29" t="inlineStr">
        <is>
          <t>QBR do canal (parceiros A)</t>
        </is>
      </c>
      <c r="B11" s="18" t="inlineStr">
        <is>
          <t>Trimestral</t>
        </is>
      </c>
      <c r="C11" s="18" t="inlineStr">
        <is>
          <t>Resultado do trimestre, ranking e metas do próximo ciclo com os top parceiros</t>
        </is>
      </c>
      <c r="D11" s="18" t="inlineStr">
        <is>
          <t>CCO + Coordenador + top parceiros</t>
        </is>
      </c>
      <c r="E11" s="18" t="inlineStr">
        <is>
          <t>Painel trimestral, ranking de indicações convertidas</t>
        </is>
      </c>
      <c r="F11" s="18" t="inlineStr">
        <is>
          <t>Metas do próximo ciclo, reconhecimento, ajustes de plano</t>
        </is>
      </c>
    </row>
    <row r="12" ht="46" customHeight="1">
      <c r="A12" s="30" t="inlineStr">
        <is>
          <t>Evento / palestra do canal</t>
        </is>
      </c>
      <c r="B12" s="20" t="inlineStr">
        <is>
          <t>A cada 45–60 dias</t>
        </is>
      </c>
      <c r="C12" s="20" t="inlineStr">
        <is>
          <t>Autoridade técnica (Reforma Tributária etc.): capta parceiro novo e reativa a base no mesmo movimento</t>
        </is>
      </c>
      <c r="D12" s="20" t="inlineStr">
        <is>
          <t>Rede de parceiros + convidados + LA</t>
        </is>
      </c>
      <c r="E12" s="20" t="inlineStr">
        <is>
          <t>Calendário de MKT, lista de inativos/alvos, tema técnico</t>
        </is>
      </c>
      <c r="F12" s="20" t="inlineStr">
        <is>
          <t>Lista de presença + follow-up em 5 dias úteis + reativações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Painel do coordenador — leitura mensal de gestão</t>
        </is>
      </c>
    </row>
    <row r="2">
      <c r="A2" s="2" t="inlineStr">
        <is>
          <t>Referências de ritmo — não são metas de cobrança. Todos os volumes são PARÂMETRO A VALIDAR (faixas de referência do Playbook v1, a calibrar no 1º ciclo). Meta-mãe: ramp 40 → 60 → 80 → 100+ parceiros ativos.</t>
        </is>
      </c>
    </row>
    <row r="4" ht="26" customHeight="1">
      <c r="A4" s="3" t="inlineStr">
        <is>
          <t>Indicador de gestão</t>
        </is>
      </c>
      <c r="B4" s="3" t="inlineStr">
        <is>
          <t>Referência de ritmo (PARÂMETRO A VALIDAR)</t>
        </is>
      </c>
      <c r="C4" s="3" t="inlineStr">
        <is>
          <t>Semana 1</t>
        </is>
      </c>
      <c r="D4" s="3" t="inlineStr">
        <is>
          <t>Semana 2</t>
        </is>
      </c>
      <c r="E4" s="3" t="inlineStr">
        <is>
          <t>Semana 3</t>
        </is>
      </c>
      <c r="F4" s="3" t="inlineStr">
        <is>
          <t>Semana 4</t>
        </is>
      </c>
      <c r="G4" s="3" t="inlineStr">
        <is>
          <t>Mês</t>
        </is>
      </c>
      <c r="H4" s="3" t="inlineStr">
        <is>
          <t>Leitura de gestão</t>
        </is>
      </c>
    </row>
    <row r="5" ht="30" customHeight="1">
      <c r="A5" s="29" t="inlineStr">
        <is>
          <t>Parceiros ativos (régua de atividade)</t>
        </is>
      </c>
      <c r="B5" s="18" t="inlineStr">
        <is>
          <t>Ramp trimestral: 40 → 60 → 80 → 100+</t>
        </is>
      </c>
      <c r="C5" s="24" t="inlineStr"/>
      <c r="D5" s="24" t="inlineStr"/>
      <c r="E5" s="24" t="inlineStr"/>
      <c r="F5" s="24" t="inlineStr"/>
      <c r="G5" s="24" t="inlineStr"/>
      <c r="H5" s="18" t="inlineStr"/>
    </row>
    <row r="6" ht="30" customHeight="1">
      <c r="A6" s="30" t="inlineStr">
        <is>
          <t>Novos parceiros credenciados (Funil 1)</t>
        </is>
      </c>
      <c r="B6" s="20" t="inlineStr">
        <is>
          <t>4–6 / mês, com carteira mapeada</t>
        </is>
      </c>
      <c r="C6" s="27" t="inlineStr"/>
      <c r="D6" s="27" t="inlineStr"/>
      <c r="E6" s="27" t="inlineStr"/>
      <c r="F6" s="27" t="inlineStr"/>
      <c r="G6" s="27">
        <f>IF(COUNT(C6:F6)=0,"",SUM(C6:F6))</f>
        <v/>
      </c>
      <c r="H6" s="20" t="inlineStr"/>
    </row>
    <row r="7" ht="30" customHeight="1">
      <c r="A7" s="29" t="inlineStr">
        <is>
          <t>Reativações da base (stand-by → ativo)</t>
        </is>
      </c>
      <c r="B7" s="18" t="inlineStr">
        <is>
          <t>6–8 / mês nos 2 primeiros ciclos</t>
        </is>
      </c>
      <c r="C7" s="24" t="inlineStr"/>
      <c r="D7" s="24" t="inlineStr"/>
      <c r="E7" s="24" t="inlineStr"/>
      <c r="F7" s="24" t="inlineStr"/>
      <c r="G7" s="24">
        <f>IF(COUNT(C7:F7)=0,"",SUM(C7:F7))</f>
        <v/>
      </c>
      <c r="H7" s="18" t="inlineStr"/>
    </row>
    <row r="8" ht="30" customHeight="1">
      <c r="A8" s="30" t="inlineStr">
        <is>
          <t>Contatos efetivos de gestão realizados</t>
        </is>
      </c>
      <c r="B8" s="20" t="inlineStr">
        <is>
          <t>20–25 / semana (Tier A quinzenal · B mensal)</t>
        </is>
      </c>
      <c r="C8" s="27" t="inlineStr"/>
      <c r="D8" s="27" t="inlineStr"/>
      <c r="E8" s="27" t="inlineStr"/>
      <c r="F8" s="27" t="inlineStr"/>
      <c r="G8" s="27">
        <f>IF(COUNT(C8:F8)=0,"",SUM(C8:F8))</f>
        <v/>
      </c>
      <c r="H8" s="20" t="inlineStr"/>
    </row>
    <row r="9" ht="30" customHeight="1">
      <c r="A9" s="29" t="inlineStr">
        <is>
          <t>Aderência à régua de contato</t>
        </is>
      </c>
      <c r="B9" s="18" t="inlineStr">
        <is>
          <t>≥ 90% dos contatos programados</t>
        </is>
      </c>
      <c r="C9" s="24" t="inlineStr"/>
      <c r="D9" s="24" t="inlineStr"/>
      <c r="E9" s="24" t="inlineStr"/>
      <c r="F9" s="24" t="inlineStr"/>
      <c r="G9" s="24" t="inlineStr"/>
      <c r="H9" s="18" t="inlineStr"/>
    </row>
    <row r="10" ht="30" customHeight="1">
      <c r="A10" s="30" t="inlineStr">
        <is>
          <t>Ligações de prospecção de novos parceiros</t>
        </is>
      </c>
      <c r="B10" s="20" t="inlineStr">
        <is>
          <t>10–12 / semana</t>
        </is>
      </c>
      <c r="C10" s="27" t="inlineStr"/>
      <c r="D10" s="27" t="inlineStr"/>
      <c r="E10" s="27" t="inlineStr"/>
      <c r="F10" s="27" t="inlineStr"/>
      <c r="G10" s="27">
        <f>IF(COUNT(C10:F10)=0,"",SUM(C10:F10))</f>
        <v/>
      </c>
      <c r="H10" s="20" t="inlineStr"/>
    </row>
    <row r="11" ht="30" customHeight="1">
      <c r="A11" s="29" t="inlineStr">
        <is>
          <t>Reuniões de apresentação realizadas</t>
        </is>
      </c>
      <c r="B11" s="18" t="inlineStr">
        <is>
          <t>3–4 / semana</t>
        </is>
      </c>
      <c r="C11" s="24" t="inlineStr"/>
      <c r="D11" s="24" t="inlineStr"/>
      <c r="E11" s="24" t="inlineStr"/>
      <c r="F11" s="24" t="inlineStr"/>
      <c r="G11" s="24">
        <f>IF(COUNT(C11:F11)=0,"",SUM(C11:F11))</f>
        <v/>
      </c>
      <c r="H11" s="18" t="inlineStr"/>
    </row>
    <row r="12" ht="30" customHeight="1">
      <c r="A12" s="30" t="inlineStr">
        <is>
          <t>Reuniões de planejamento &amp; resultado</t>
        </is>
      </c>
      <c r="B12" s="20" t="inlineStr">
        <is>
          <t>5–6 / semana</t>
        </is>
      </c>
      <c r="C12" s="27" t="inlineStr"/>
      <c r="D12" s="27" t="inlineStr"/>
      <c r="E12" s="27" t="inlineStr"/>
      <c r="F12" s="27" t="inlineStr"/>
      <c r="G12" s="27">
        <f>IF(COUNT(C12:F12)=0,"",SUM(C12:F12))</f>
        <v/>
      </c>
      <c r="H12" s="20" t="inlineStr"/>
    </row>
    <row r="13" ht="30" customHeight="1">
      <c r="A13" s="29" t="inlineStr">
        <is>
          <t>Visitas presenciais</t>
        </is>
      </c>
      <c r="B13" s="18" t="inlineStr">
        <is>
          <t>1–2 / semana</t>
        </is>
      </c>
      <c r="C13" s="24" t="inlineStr"/>
      <c r="D13" s="24" t="inlineStr"/>
      <c r="E13" s="24" t="inlineStr"/>
      <c r="F13" s="24" t="inlineStr"/>
      <c r="G13" s="24">
        <f>IF(COUNT(C13:F13)=0,"",SUM(C13:F13))</f>
        <v/>
      </c>
      <c r="H13" s="18" t="inlineStr"/>
    </row>
    <row r="14" ht="30" customHeight="1">
      <c r="A14" s="30" t="inlineStr">
        <is>
          <t>Indicações qualificadas geradas (Funil 2)</t>
        </is>
      </c>
      <c r="B14" s="20" t="inlineStr">
        <is>
          <t>≥ 1 por parceiro ativo / trimestre</t>
        </is>
      </c>
      <c r="C14" s="27" t="inlineStr"/>
      <c r="D14" s="27" t="inlineStr"/>
      <c r="E14" s="27" t="inlineStr"/>
      <c r="F14" s="27" t="inlineStr"/>
      <c r="G14" s="27">
        <f>IF(COUNT(C14:F14)=0,"",SUM(C14:F14))</f>
        <v/>
      </c>
      <c r="H14" s="20" t="inlineStr"/>
    </row>
    <row r="15" ht="30" customHeight="1">
      <c r="A15" s="29" t="inlineStr">
        <is>
          <t>Reuniões comerciais geradas ao time de vendas</t>
        </is>
      </c>
      <c r="B15" s="18" t="inlineStr">
        <is>
          <t>Baseline no 1º ciclo (acompanhar)</t>
        </is>
      </c>
      <c r="C15" s="24" t="inlineStr"/>
      <c r="D15" s="24" t="inlineStr"/>
      <c r="E15" s="24" t="inlineStr"/>
      <c r="F15" s="24" t="inlineStr"/>
      <c r="G15" s="24">
        <f>IF(COUNT(C15:F15)=0,"",SUM(C15:F15))</f>
        <v/>
      </c>
      <c r="H15" s="18" t="inlineStr"/>
    </row>
    <row r="16" ht="30" customHeight="1">
      <c r="A16" s="30" t="inlineStr">
        <is>
          <t>Tempo credenciamento → 1ª indicação</t>
        </is>
      </c>
      <c r="B16" s="20" t="inlineStr">
        <is>
          <t>≤ 45 dias por parceiro</t>
        </is>
      </c>
      <c r="C16" s="27" t="inlineStr"/>
      <c r="D16" s="27" t="inlineStr"/>
      <c r="E16" s="27" t="inlineStr"/>
      <c r="F16" s="27" t="inlineStr"/>
      <c r="G16" s="27" t="inlineStr"/>
      <c r="H16" s="20" t="inlineStr"/>
    </row>
    <row r="18" ht="30" customHeight="1">
      <c r="A18" s="16" t="inlineStr">
        <is>
          <t>Leitura de gestão: o painel responde 'o que a carteira está dizendo?' — ritmo abaixo da referência indica agenda a recompor ou régua a recalibrar, não desempenho a punir. Fontes: Twenty (objeto parcerias), ZapSign, agenda e registro de atividades.</t>
        </is>
      </c>
    </row>
  </sheetData>
  <mergeCells count="1">
    <mergeCell ref="A18:H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Cronograma Semanal de Gestão — Parcerias · Como usar</t>
        </is>
      </c>
    </row>
    <row r="3">
      <c r="B3" s="2" t="inlineStr">
        <is>
          <t>Ferramenta de planejamento e controle do Coordenador de Parcerias (Ulisses) · Lucro Ativo · v1 — setembro/2026</t>
        </is>
      </c>
    </row>
    <row r="5" ht="42" customHeight="1">
      <c r="B5" s="31" t="inlineStr">
        <is>
          <t>■  Filosofia — Esta é uma ferramenta de GESTÃO, não de cobrança: ela organiza a semana por temas de gestão (planejar → executar → registrar → analisar) e produz leitura de carteira — não é lista de tarefas nem régua punitiva.</t>
        </is>
      </c>
    </row>
    <row r="6" ht="42" customHeight="1">
      <c r="B6" s="31" t="inlineStr">
        <is>
          <t>■  Semana de Gestão — É a semana-padrão temática. Use-a como pano de fundo: os blocos indicam o tipo de trabalho de cada faixa de horário; a agenda real de cada semana se monta em cima dela.</t>
        </is>
      </c>
    </row>
    <row r="7" ht="42" customHeight="1">
      <c r="B7" s="31" t="inlineStr">
        <is>
          <t>■  Planner Semanal — Modelo em branco: duplique a aba a cada semana, preencha o foco do dia, os parceiros do ciclo e as reuniões, e feche a semana com a linha de fechamento (que alimenta a pauta da Weekly com o CCO).</t>
        </is>
      </c>
    </row>
    <row r="8" ht="42" customHeight="1">
      <c r="B8" s="31" t="inlineStr">
        <is>
          <t>■  Cadência da Carteira — Controle vivo por parceiro. Preencha Tier e Último contato: o Próximo contato calcula sozinho (A = +14 dias · B = +30 dias · C = régua automatizada). Vermelho = contato vencido · amarelo = vence em até 3 dias. As 5 primeiras linhas são exemplos fictícios — substitua pelos parceiros reais.</t>
        </is>
      </c>
    </row>
    <row r="9" ht="42" customHeight="1">
      <c r="B9" s="31" t="inlineStr">
        <is>
          <t>■  Rituais &amp; Ciclo — Mapa dos rituais do canal com entrada e saída de cada um — o que alimenta a reunião e o que ela deve produzir. Um ritual sem saída registrada não aconteceu.</t>
        </is>
      </c>
    </row>
    <row r="10" ht="42" customHeight="1">
      <c r="B10" s="31" t="inlineStr">
        <is>
          <t>■  Painel do Coordenador — Leitura mensal de ritmo. As referências são faixas do Playbook v1 marcadas como PARÂMETRO A VALIDAR — servem para calibrar a agenda no 1º ciclo, não para cobrar meta.</t>
        </is>
      </c>
    </row>
    <row r="11" ht="42" customHeight="1">
      <c r="B11" s="31" t="inlineStr">
        <is>
          <t>■  Registro — Fonte única de verdade é o Twenty (objeto 'parcerias'): contato efetivo = conversa real com próximo passo datado. Esta planilha organiza e lê; o registro oficial mora no CRM.</t>
        </is>
      </c>
    </row>
    <row r="12" ht="42" customHeight="1">
      <c r="B12" s="31" t="inlineStr">
        <is>
          <t>■  Fonte — Playbook de Gestão de Parcerias v1.0 (minuta em validação com o Ulisses e o CCO). Revisar esta ferramenta junto com a revisão do playbook — fevereiro/2027 ou antes, ao fim do 1º ciclo.</t>
        </is>
      </c>
    </row>
    <row r="14">
      <c r="B14" s="2" t="inlineStr">
        <is>
          <t>@meulucroativo · Gestão de Parcerias · Volumes de referência — PARÂMETRO A VALIDAR na revisão com o coordenador.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2026-09-04T21:29:14Z</dcterms:created>
  <dcterms:modified xsi:type="dcterms:W3CDTF">2026-09-04T21:29:14Z</dcterms:modified>
</cp:coreProperties>
</file>